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Documents\Projet\drone\Code\Drone-code\motor_correction\"/>
    </mc:Choice>
  </mc:AlternateContent>
  <xr:revisionPtr revIDLastSave="0" documentId="13_ncr:1_{2426FBC5-6C09-4CF1-B0C1-9BABA815A180}" xr6:coauthVersionLast="47" xr6:coauthVersionMax="47" xr10:uidLastSave="{00000000-0000-0000-0000-000000000000}"/>
  <bookViews>
    <workbookView xWindow="-120" yWindow="-120" windowWidth="29040" windowHeight="15720" activeTab="1" xr2:uid="{72B7F52F-E4AC-4AC5-85C1-2DE79063478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2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E2" i="2"/>
  <c r="D2" i="2"/>
  <c r="C37" i="1"/>
  <c r="C38" i="1"/>
  <c r="C39" i="1"/>
  <c r="C40" i="1"/>
  <c r="C41" i="1"/>
  <c r="C42" i="1"/>
  <c r="G43" i="1"/>
  <c r="G44" i="1"/>
  <c r="G45" i="1"/>
  <c r="G46" i="1"/>
  <c r="G47" i="1"/>
  <c r="G48" i="1"/>
  <c r="G49" i="1"/>
  <c r="G50" i="1"/>
  <c r="G51" i="1"/>
  <c r="G52" i="1"/>
  <c r="G53" i="1"/>
  <c r="G35" i="1"/>
  <c r="D35" i="1"/>
  <c r="C21" i="1"/>
  <c r="D7" i="1"/>
  <c r="D8" i="1"/>
  <c r="D9" i="1"/>
  <c r="D10" i="1"/>
  <c r="D11" i="1"/>
  <c r="D12" i="1"/>
  <c r="D13" i="1"/>
  <c r="D14" i="1"/>
  <c r="D15" i="1"/>
  <c r="D6" i="1"/>
  <c r="C43" i="1"/>
  <c r="D43" i="1" s="1"/>
  <c r="C44" i="1"/>
  <c r="E6" i="1" s="1"/>
  <c r="C45" i="1"/>
  <c r="E7" i="1" s="1"/>
  <c r="C46" i="1"/>
  <c r="E8" i="1" s="1"/>
  <c r="C47" i="1"/>
  <c r="D47" i="1" s="1"/>
  <c r="C48" i="1"/>
  <c r="D48" i="1" s="1"/>
  <c r="C49" i="1"/>
  <c r="D49" i="1" s="1"/>
  <c r="C50" i="1"/>
  <c r="D50" i="1" s="1"/>
  <c r="C51" i="1"/>
  <c r="E13" i="1" s="1"/>
  <c r="C52" i="1"/>
  <c r="D52" i="1" s="1"/>
  <c r="C53" i="1"/>
  <c r="D53" i="1" s="1"/>
  <c r="C35" i="1"/>
  <c r="C20" i="1"/>
  <c r="C22" i="1"/>
  <c r="C23" i="1"/>
  <c r="C24" i="1"/>
  <c r="C25" i="1"/>
  <c r="C26" i="1"/>
  <c r="C27" i="1"/>
  <c r="C28" i="1"/>
  <c r="C29" i="1"/>
  <c r="C30" i="1"/>
  <c r="C19" i="1"/>
  <c r="C5" i="1"/>
  <c r="C6" i="1"/>
  <c r="C7" i="1"/>
  <c r="C8" i="1"/>
  <c r="C9" i="1"/>
  <c r="C10" i="1"/>
  <c r="C11" i="1"/>
  <c r="C12" i="1"/>
  <c r="C13" i="1"/>
  <c r="C14" i="1"/>
  <c r="C15" i="1"/>
  <c r="C4" i="1"/>
  <c r="E11" i="1" l="1"/>
  <c r="D44" i="1"/>
  <c r="E15" i="1"/>
  <c r="E12" i="1"/>
  <c r="E9" i="1"/>
  <c r="E10" i="1"/>
  <c r="E5" i="1"/>
  <c r="D51" i="1"/>
  <c r="E14" i="1"/>
  <c r="D46" i="1"/>
  <c r="D45" i="1"/>
</calcChain>
</file>

<file path=xl/sharedStrings.xml><?xml version="1.0" encoding="utf-8"?>
<sst xmlns="http://schemas.openxmlformats.org/spreadsheetml/2006/main" count="25" uniqueCount="19">
  <si>
    <t>moteur A pin 9</t>
  </si>
  <si>
    <t>puissance</t>
  </si>
  <si>
    <t>poids (g)</t>
  </si>
  <si>
    <t>force (N)</t>
  </si>
  <si>
    <t>Moteur B pin 5</t>
  </si>
  <si>
    <t>erreur mot A pin 5 (%)</t>
  </si>
  <si>
    <t>erreur mot pin 5 (%)</t>
  </si>
  <si>
    <t>moteur A pin 5</t>
  </si>
  <si>
    <t>réevaluation force</t>
  </si>
  <si>
    <t>correction</t>
  </si>
  <si>
    <t>pwm corr</t>
  </si>
  <si>
    <t>corr esc</t>
  </si>
  <si>
    <t>moteur A</t>
  </si>
  <si>
    <t>moteur B</t>
  </si>
  <si>
    <t>esc A</t>
  </si>
  <si>
    <t>esc B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</si>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</sst>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thrust versus power(PWM)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229270377980334"/>
          <c:y val="9.9537057581263216E-2"/>
          <c:w val="0.84081263703683284"/>
          <c:h val="0.76596240589746545"/>
        </c:manualLayout>
      </c:layout>
      <c:scatterChart>
        <c:scatterStyle val="lineMarker"/>
        <c:varyColors val="0"/>
        <c:ser>
          <c:idx val="1"/>
          <c:order val="1"/>
          <c:tx>
            <c:v>mot A pin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179391669339623"/>
                  <c:y val="-6.3964557126850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Feuil1!$A$19:$A$30</c:f>
              <c:numCache>
                <c:formatCode>General</c:formatCode>
                <c:ptCount val="12"/>
                <c:pt idx="0">
                  <c:v>1000</c:v>
                </c:pt>
                <c:pt idx="1">
                  <c:v>1100</c:v>
                </c:pt>
                <c:pt idx="2">
                  <c:v>1150</c:v>
                </c:pt>
                <c:pt idx="3">
                  <c:v>1200</c:v>
                </c:pt>
                <c:pt idx="4">
                  <c:v>1300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1800</c:v>
                </c:pt>
                <c:pt idx="10">
                  <c:v>1900</c:v>
                </c:pt>
                <c:pt idx="11">
                  <c:v>2000</c:v>
                </c:pt>
              </c:numCache>
            </c:numRef>
          </c:xVal>
          <c:yVal>
            <c:numRef>
              <c:f>Feuil1!$C$19:$C$30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7.8480000000000008E-2</c:v>
                </c:pt>
                <c:pt idx="3">
                  <c:v>0.21582000000000001</c:v>
                </c:pt>
                <c:pt idx="4">
                  <c:v>0.50031000000000003</c:v>
                </c:pt>
                <c:pt idx="5">
                  <c:v>0.76518000000000008</c:v>
                </c:pt>
                <c:pt idx="6">
                  <c:v>0.91233000000000009</c:v>
                </c:pt>
                <c:pt idx="7">
                  <c:v>1.2752999999999999</c:v>
                </c:pt>
                <c:pt idx="8">
                  <c:v>1.5009300000000001</c:v>
                </c:pt>
                <c:pt idx="9">
                  <c:v>1.8540900000000002</c:v>
                </c:pt>
                <c:pt idx="10">
                  <c:v>2.4328799999999999</c:v>
                </c:pt>
                <c:pt idx="11">
                  <c:v>3.0509100000000005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6-48C4-B56F-D59BDF837CF3}"/>
            </c:ext>
          </c:extLst>
        </c:ser>
        <c:ser>
          <c:idx val="2"/>
          <c:order val="2"/>
          <c:tx>
            <c:v>mot B pin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2529411156062781E-2"/>
                  <c:y val="-1.91268863679560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Feuil1!$A$35:$A$53</c:f>
              <c:numCache>
                <c:formatCode>General</c:formatCode>
                <c:ptCount val="19"/>
                <c:pt idx="0">
                  <c:v>1000</c:v>
                </c:pt>
                <c:pt idx="1">
                  <c:v>1030</c:v>
                </c:pt>
                <c:pt idx="2">
                  <c:v>1040</c:v>
                </c:pt>
                <c:pt idx="3">
                  <c:v>1050</c:v>
                </c:pt>
                <c:pt idx="4">
                  <c:v>1060</c:v>
                </c:pt>
                <c:pt idx="5">
                  <c:v>1070</c:v>
                </c:pt>
                <c:pt idx="6">
                  <c:v>1080</c:v>
                </c:pt>
                <c:pt idx="7">
                  <c:v>1090</c:v>
                </c:pt>
                <c:pt idx="8">
                  <c:v>1100</c:v>
                </c:pt>
                <c:pt idx="9">
                  <c:v>1150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xVal>
          <c:yVal>
            <c:numRef>
              <c:f>Feuil1!$C$35:$C$53</c:f>
              <c:numCache>
                <c:formatCode>General</c:formatCode>
                <c:ptCount val="19"/>
                <c:pt idx="0" formatCode="0.00">
                  <c:v>0</c:v>
                </c:pt>
                <c:pt idx="2" formatCode="0.00">
                  <c:v>4.9050000000000003E-2</c:v>
                </c:pt>
                <c:pt idx="3" formatCode="0.00">
                  <c:v>9.8100000000000007E-2</c:v>
                </c:pt>
                <c:pt idx="4" formatCode="0.00">
                  <c:v>0.14715</c:v>
                </c:pt>
                <c:pt idx="5" formatCode="0.00">
                  <c:v>0.19620000000000001</c:v>
                </c:pt>
                <c:pt idx="6" formatCode="0.00">
                  <c:v>0.24525</c:v>
                </c:pt>
                <c:pt idx="7" formatCode="0.00">
                  <c:v>0.29430000000000001</c:v>
                </c:pt>
                <c:pt idx="8" formatCode="0.00">
                  <c:v>0.36297000000000001</c:v>
                </c:pt>
                <c:pt idx="9" formatCode="0.00">
                  <c:v>0.44145000000000006</c:v>
                </c:pt>
                <c:pt idx="10" formatCode="0.00">
                  <c:v>0.59841000000000011</c:v>
                </c:pt>
                <c:pt idx="11" formatCode="0.00">
                  <c:v>0.87309000000000003</c:v>
                </c:pt>
                <c:pt idx="12" formatCode="0.00">
                  <c:v>1.1379600000000001</c:v>
                </c:pt>
                <c:pt idx="13" formatCode="0.00">
                  <c:v>1.69713</c:v>
                </c:pt>
                <c:pt idx="14" formatCode="0.00">
                  <c:v>1.9031400000000001</c:v>
                </c:pt>
                <c:pt idx="15" formatCode="0.00">
                  <c:v>2.3544</c:v>
                </c:pt>
                <c:pt idx="16" formatCode="0.00">
                  <c:v>3.2274900000000004</c:v>
                </c:pt>
                <c:pt idx="17" formatCode="0.00">
                  <c:v>3.2274900000000004</c:v>
                </c:pt>
                <c:pt idx="18" formatCode="0.00">
                  <c:v>3.2274900000000004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6-48C4-B56F-D59BDF837CF3}"/>
            </c:ext>
          </c:extLst>
        </c:ser>
        <c:ser>
          <c:idx val="3"/>
          <c:order val="3"/>
          <c:tx>
            <c:v>moteur B corr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Feuil1!$A$35:$A$53</c:f>
              <c:numCache>
                <c:formatCode>General</c:formatCode>
                <c:ptCount val="19"/>
                <c:pt idx="0">
                  <c:v>1000</c:v>
                </c:pt>
                <c:pt idx="1">
                  <c:v>1030</c:v>
                </c:pt>
                <c:pt idx="2">
                  <c:v>1040</c:v>
                </c:pt>
                <c:pt idx="3">
                  <c:v>1050</c:v>
                </c:pt>
                <c:pt idx="4">
                  <c:v>1060</c:v>
                </c:pt>
                <c:pt idx="5">
                  <c:v>1070</c:v>
                </c:pt>
                <c:pt idx="6">
                  <c:v>1080</c:v>
                </c:pt>
                <c:pt idx="7">
                  <c:v>1090</c:v>
                </c:pt>
                <c:pt idx="8">
                  <c:v>1100</c:v>
                </c:pt>
                <c:pt idx="9">
                  <c:v>1150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xVal>
          <c:yVal>
            <c:numRef>
              <c:f>Feuil1!$D$35:$D$53</c:f>
              <c:numCache>
                <c:formatCode>General</c:formatCode>
                <c:ptCount val="19"/>
                <c:pt idx="0" formatCode="0.00">
                  <c:v>0</c:v>
                </c:pt>
                <c:pt idx="8" formatCode="0.00">
                  <c:v>5.4445500000000001E-2</c:v>
                </c:pt>
                <c:pt idx="9" formatCode="0.00">
                  <c:v>0.11036250000000002</c:v>
                </c:pt>
                <c:pt idx="10" formatCode="0.00">
                  <c:v>0.20944350000000003</c:v>
                </c:pt>
                <c:pt idx="11" formatCode="0.00">
                  <c:v>0.43654500000000002</c:v>
                </c:pt>
                <c:pt idx="12" formatCode="0.00">
                  <c:v>0.71691480000000007</c:v>
                </c:pt>
                <c:pt idx="13" formatCode="0.00">
                  <c:v>1.1540484000000002</c:v>
                </c:pt>
                <c:pt idx="14" formatCode="0.00">
                  <c:v>1.332198</c:v>
                </c:pt>
                <c:pt idx="15" formatCode="0.00">
                  <c:v>1.64808</c:v>
                </c:pt>
                <c:pt idx="16" formatCode="0.00">
                  <c:v>2.4528924000000005</c:v>
                </c:pt>
                <c:pt idx="17" formatCode="0.00">
                  <c:v>2.5174422000000005</c:v>
                </c:pt>
                <c:pt idx="18" formatCode="0.00">
                  <c:v>2.5174422000000005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D6-48C4-B56F-D59BDF83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565327"/>
        <c:axId val="20403415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mot A pin 9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1"/>
                  <c:dispEq val="0"/>
                  <c:trendlineLbl>
                    <c:layout>
                      <c:manualLayout>
                        <c:x val="6.0116230543455391E-2"/>
                        <c:y val="0.12176336484674359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Feuil1!$A$4:$A$15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1100</c:v>
                      </c:pt>
                      <c:pt idx="2">
                        <c:v>1150</c:v>
                      </c:pt>
                      <c:pt idx="3">
                        <c:v>1200</c:v>
                      </c:pt>
                      <c:pt idx="4">
                        <c:v>1300</c:v>
                      </c:pt>
                      <c:pt idx="5">
                        <c:v>1400</c:v>
                      </c:pt>
                      <c:pt idx="6">
                        <c:v>1500</c:v>
                      </c:pt>
                      <c:pt idx="7">
                        <c:v>1600</c:v>
                      </c:pt>
                      <c:pt idx="8">
                        <c:v>1700</c:v>
                      </c:pt>
                      <c:pt idx="9">
                        <c:v>1800</c:v>
                      </c:pt>
                      <c:pt idx="10">
                        <c:v>1900</c:v>
                      </c:pt>
                      <c:pt idx="11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Feuil1!$C$4:$C$15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8.8290000000000007E-2</c:v>
                      </c:pt>
                      <c:pt idx="3">
                        <c:v>0.24525</c:v>
                      </c:pt>
                      <c:pt idx="4">
                        <c:v>0.50031000000000003</c:v>
                      </c:pt>
                      <c:pt idx="5">
                        <c:v>0.84366000000000008</c:v>
                      </c:pt>
                      <c:pt idx="6">
                        <c:v>0.94176000000000004</c:v>
                      </c:pt>
                      <c:pt idx="7">
                        <c:v>1.1772</c:v>
                      </c:pt>
                      <c:pt idx="8">
                        <c:v>1.3734000000000002</c:v>
                      </c:pt>
                      <c:pt idx="9">
                        <c:v>1.8050400000000002</c:v>
                      </c:pt>
                      <c:pt idx="10">
                        <c:v>2.2661100000000003</c:v>
                      </c:pt>
                      <c:pt idx="11">
                        <c:v>2.9037600000000001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0D6-48C4-B56F-D59BDF837CF3}"/>
                  </c:ext>
                </c:extLst>
              </c15:ser>
            </c15:filteredScatterSeries>
          </c:ext>
        </c:extLst>
      </c:scatterChart>
      <c:valAx>
        <c:axId val="23156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power</a:t>
                </a:r>
                <a:r>
                  <a:rPr lang="fr-FR" sz="1400" b="1" baseline="0"/>
                  <a:t> PWM</a:t>
                </a:r>
                <a:endParaRPr lang="fr-FR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341552"/>
        <c:crosses val="autoZero"/>
        <c:crossBetween val="midCat"/>
      </c:valAx>
      <c:valAx>
        <c:axId val="20403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1"/>
                  <a:t>thrust</a:t>
                </a:r>
                <a:r>
                  <a:rPr lang="fr-FR" sz="1600" b="1" baseline="0"/>
                  <a:t> (N)</a:t>
                </a:r>
                <a:endParaRPr lang="fr-FR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156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194947391646096"/>
          <c:y val="0.1208850678036945"/>
          <c:w val="0.19812596355810319"/>
          <c:h val="0.25674195716356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Correction motor B,</a:t>
            </a:r>
            <a:r>
              <a:rPr lang="en-US" sz="1800" b="1" baseline="0"/>
              <a:t> (python program : plot_test_correction.py)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correction moteur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0.13698773604851255"/>
                  <c:y val="-9.17772435795250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Feuil1!$A$35:$A$53</c:f>
              <c:numCache>
                <c:formatCode>General</c:formatCode>
                <c:ptCount val="19"/>
                <c:pt idx="0">
                  <c:v>1000</c:v>
                </c:pt>
                <c:pt idx="1">
                  <c:v>1030</c:v>
                </c:pt>
                <c:pt idx="2">
                  <c:v>1040</c:v>
                </c:pt>
                <c:pt idx="3">
                  <c:v>1050</c:v>
                </c:pt>
                <c:pt idx="4">
                  <c:v>1060</c:v>
                </c:pt>
                <c:pt idx="5">
                  <c:v>1070</c:v>
                </c:pt>
                <c:pt idx="6">
                  <c:v>1080</c:v>
                </c:pt>
                <c:pt idx="7">
                  <c:v>1090</c:v>
                </c:pt>
                <c:pt idx="8">
                  <c:v>1100</c:v>
                </c:pt>
                <c:pt idx="9">
                  <c:v>1150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xVal>
          <c:yVal>
            <c:numRef>
              <c:f>Feuil1!$E$35:$E$53</c:f>
              <c:numCache>
                <c:formatCode>General</c:formatCode>
                <c:ptCount val="19"/>
                <c:pt idx="0">
                  <c:v>0</c:v>
                </c:pt>
                <c:pt idx="8">
                  <c:v>0.15</c:v>
                </c:pt>
                <c:pt idx="9">
                  <c:v>0.25</c:v>
                </c:pt>
                <c:pt idx="10">
                  <c:v>0.35</c:v>
                </c:pt>
                <c:pt idx="11">
                  <c:v>0.5</c:v>
                </c:pt>
                <c:pt idx="12">
                  <c:v>0.63</c:v>
                </c:pt>
                <c:pt idx="13">
                  <c:v>0.68</c:v>
                </c:pt>
                <c:pt idx="14">
                  <c:v>0.7</c:v>
                </c:pt>
                <c:pt idx="15">
                  <c:v>0.7</c:v>
                </c:pt>
                <c:pt idx="16">
                  <c:v>0.76</c:v>
                </c:pt>
                <c:pt idx="17" formatCode="0.00">
                  <c:v>0.78</c:v>
                </c:pt>
                <c:pt idx="18" formatCode="0.00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3-49E9-BA6C-69A5BE836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013631"/>
        <c:axId val="2040302192"/>
      </c:scatterChart>
      <c:valAx>
        <c:axId val="27601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power</a:t>
                </a:r>
                <a:r>
                  <a:rPr lang="fr-FR" sz="1400" b="1" baseline="0"/>
                  <a:t> (PWM)</a:t>
                </a:r>
                <a:endParaRPr lang="fr-FR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302192"/>
        <c:crosses val="autoZero"/>
        <c:crossBetween val="midCat"/>
      </c:valAx>
      <c:valAx>
        <c:axId val="204030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correction</a:t>
                </a:r>
                <a:r>
                  <a:rPr lang="fr-FR" sz="1400" b="1" baseline="0"/>
                  <a:t> factor</a:t>
                </a:r>
                <a:endParaRPr lang="fr-FR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601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power</a:t>
            </a:r>
            <a:r>
              <a:rPr lang="fr-FR" sz="1800" b="1" baseline="0"/>
              <a:t> versus thrust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440411546262742"/>
          <c:y val="0.14063344358068428"/>
          <c:w val="0.83913516149035627"/>
          <c:h val="0.70354432661127775"/>
        </c:manualLayout>
      </c:layout>
      <c:scatterChart>
        <c:scatterStyle val="lineMarker"/>
        <c:varyColors val="0"/>
        <c:ser>
          <c:idx val="0"/>
          <c:order val="0"/>
          <c:tx>
            <c:v>mot A pin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Feuil1!$C$19:$C$30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7.8480000000000008E-2</c:v>
                </c:pt>
                <c:pt idx="3">
                  <c:v>0.21582000000000001</c:v>
                </c:pt>
                <c:pt idx="4">
                  <c:v>0.50031000000000003</c:v>
                </c:pt>
                <c:pt idx="5">
                  <c:v>0.76518000000000008</c:v>
                </c:pt>
                <c:pt idx="6">
                  <c:v>0.91233000000000009</c:v>
                </c:pt>
                <c:pt idx="7">
                  <c:v>1.2752999999999999</c:v>
                </c:pt>
                <c:pt idx="8">
                  <c:v>1.5009300000000001</c:v>
                </c:pt>
                <c:pt idx="9">
                  <c:v>1.8540900000000002</c:v>
                </c:pt>
                <c:pt idx="10">
                  <c:v>2.4328799999999999</c:v>
                </c:pt>
                <c:pt idx="11">
                  <c:v>3.0509100000000005</c:v>
                </c:pt>
              </c:numCache>
            </c:numRef>
          </c:xVal>
          <c:yVal>
            <c:numRef>
              <c:f>Feuil1!$A$19:$A$30</c:f>
              <c:numCache>
                <c:formatCode>General</c:formatCode>
                <c:ptCount val="12"/>
                <c:pt idx="0">
                  <c:v>1000</c:v>
                </c:pt>
                <c:pt idx="1">
                  <c:v>1100</c:v>
                </c:pt>
                <c:pt idx="2">
                  <c:v>1150</c:v>
                </c:pt>
                <c:pt idx="3">
                  <c:v>1200</c:v>
                </c:pt>
                <c:pt idx="4">
                  <c:v>1300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1800</c:v>
                </c:pt>
                <c:pt idx="10">
                  <c:v>1900</c:v>
                </c:pt>
                <c:pt idx="1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9-4C3D-9332-1325A6D233E4}"/>
            </c:ext>
          </c:extLst>
        </c:ser>
        <c:ser>
          <c:idx val="1"/>
          <c:order val="1"/>
          <c:tx>
            <c:v>mot B pin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Feuil1!$C$35:$C$53</c:f>
              <c:numCache>
                <c:formatCode>General</c:formatCode>
                <c:ptCount val="19"/>
                <c:pt idx="0" formatCode="0.00">
                  <c:v>0</c:v>
                </c:pt>
                <c:pt idx="2" formatCode="0.00">
                  <c:v>4.9050000000000003E-2</c:v>
                </c:pt>
                <c:pt idx="3" formatCode="0.00">
                  <c:v>9.8100000000000007E-2</c:v>
                </c:pt>
                <c:pt idx="4" formatCode="0.00">
                  <c:v>0.14715</c:v>
                </c:pt>
                <c:pt idx="5" formatCode="0.00">
                  <c:v>0.19620000000000001</c:v>
                </c:pt>
                <c:pt idx="6" formatCode="0.00">
                  <c:v>0.24525</c:v>
                </c:pt>
                <c:pt idx="7" formatCode="0.00">
                  <c:v>0.29430000000000001</c:v>
                </c:pt>
                <c:pt idx="8" formatCode="0.00">
                  <c:v>0.36297000000000001</c:v>
                </c:pt>
                <c:pt idx="9" formatCode="0.00">
                  <c:v>0.44145000000000006</c:v>
                </c:pt>
                <c:pt idx="10" formatCode="0.00">
                  <c:v>0.59841000000000011</c:v>
                </c:pt>
                <c:pt idx="11" formatCode="0.00">
                  <c:v>0.87309000000000003</c:v>
                </c:pt>
                <c:pt idx="12" formatCode="0.00">
                  <c:v>1.1379600000000001</c:v>
                </c:pt>
                <c:pt idx="13" formatCode="0.00">
                  <c:v>1.69713</c:v>
                </c:pt>
                <c:pt idx="14" formatCode="0.00">
                  <c:v>1.9031400000000001</c:v>
                </c:pt>
                <c:pt idx="15" formatCode="0.00">
                  <c:v>2.3544</c:v>
                </c:pt>
                <c:pt idx="16" formatCode="0.00">
                  <c:v>3.2274900000000004</c:v>
                </c:pt>
                <c:pt idx="17" formatCode="0.00">
                  <c:v>3.2274900000000004</c:v>
                </c:pt>
                <c:pt idx="18" formatCode="0.00">
                  <c:v>3.2274900000000004</c:v>
                </c:pt>
              </c:numCache>
            </c:numRef>
          </c:xVal>
          <c:yVal>
            <c:numRef>
              <c:f>Feuil1!$A$35:$A$53</c:f>
              <c:numCache>
                <c:formatCode>General</c:formatCode>
                <c:ptCount val="19"/>
                <c:pt idx="0">
                  <c:v>1000</c:v>
                </c:pt>
                <c:pt idx="1">
                  <c:v>1030</c:v>
                </c:pt>
                <c:pt idx="2">
                  <c:v>1040</c:v>
                </c:pt>
                <c:pt idx="3">
                  <c:v>1050</c:v>
                </c:pt>
                <c:pt idx="4">
                  <c:v>1060</c:v>
                </c:pt>
                <c:pt idx="5">
                  <c:v>1070</c:v>
                </c:pt>
                <c:pt idx="6">
                  <c:v>1080</c:v>
                </c:pt>
                <c:pt idx="7">
                  <c:v>1090</c:v>
                </c:pt>
                <c:pt idx="8">
                  <c:v>1100</c:v>
                </c:pt>
                <c:pt idx="9">
                  <c:v>1150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19-4C3D-9332-1325A6D2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08607"/>
        <c:axId val="2040311312"/>
      </c:scatterChart>
      <c:valAx>
        <c:axId val="24040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thrust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311312"/>
        <c:crosses val="autoZero"/>
        <c:crossBetween val="midCat"/>
      </c:valAx>
      <c:valAx>
        <c:axId val="20403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40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834353881154911"/>
          <c:y val="0.1669760718066732"/>
          <c:w val="0.13255230034977278"/>
          <c:h val="0.12266438486513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ESCA vs ESCB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683064369429069"/>
                  <c:y val="-5.71252122896402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3573711701878856E-2"/>
                  <c:y val="-4.1471954014797925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Feuil2!$D$2:$D$10</c:f>
              <c:numCache>
                <c:formatCode>General</c:formatCode>
                <c:ptCount val="9"/>
                <c:pt idx="0">
                  <c:v>1100</c:v>
                </c:pt>
                <c:pt idx="1">
                  <c:v>1150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</c:numCache>
            </c:numRef>
          </c:xVal>
          <c:yVal>
            <c:numRef>
              <c:f>Feuil2!$E$2:$E$10</c:f>
              <c:numCache>
                <c:formatCode>General</c:formatCode>
                <c:ptCount val="9"/>
                <c:pt idx="0">
                  <c:v>1042</c:v>
                </c:pt>
                <c:pt idx="1">
                  <c:v>1080</c:v>
                </c:pt>
                <c:pt idx="2">
                  <c:v>1110</c:v>
                </c:pt>
                <c:pt idx="3">
                  <c:v>1190</c:v>
                </c:pt>
                <c:pt idx="4">
                  <c:v>1250</c:v>
                </c:pt>
                <c:pt idx="5">
                  <c:v>1340</c:v>
                </c:pt>
                <c:pt idx="6">
                  <c:v>1443</c:v>
                </c:pt>
                <c:pt idx="7">
                  <c:v>1523</c:v>
                </c:pt>
                <c:pt idx="8">
                  <c:v>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4-4BEF-AFED-FB99ED4E1FD6}"/>
            </c:ext>
          </c:extLst>
        </c:ser>
        <c:ser>
          <c:idx val="1"/>
          <c:order val="1"/>
          <c:tx>
            <c:v>fonction 2nd deg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Feuil2!$D$2:$D$10</c:f>
              <c:numCache>
                <c:formatCode>General</c:formatCode>
                <c:ptCount val="9"/>
                <c:pt idx="0">
                  <c:v>1100</c:v>
                </c:pt>
                <c:pt idx="1">
                  <c:v>1150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</c:numCache>
            </c:numRef>
          </c:xVal>
          <c:yVal>
            <c:numRef>
              <c:f>Feuil2!$F$2:$F$10</c:f>
              <c:numCache>
                <c:formatCode>0.00E+00</c:formatCode>
                <c:ptCount val="9"/>
                <c:pt idx="0">
                  <c:v>1062.3767425799999</c:v>
                </c:pt>
                <c:pt idx="1">
                  <c:v>1095.03323103</c:v>
                </c:pt>
                <c:pt idx="2">
                  <c:v>1128.51662992</c:v>
                </c:pt>
                <c:pt idx="3">
                  <c:v>1197.9641590199999</c:v>
                </c:pt>
                <c:pt idx="4">
                  <c:v>1270.7193298799998</c:v>
                </c:pt>
                <c:pt idx="5">
                  <c:v>1346.7821425</c:v>
                </c:pt>
                <c:pt idx="6">
                  <c:v>1426.1525968799999</c:v>
                </c:pt>
                <c:pt idx="7">
                  <c:v>1508.8306930200001</c:v>
                </c:pt>
                <c:pt idx="8">
                  <c:v>1594.8164309200001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E4-4BEF-AFED-FB99ED4E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586015"/>
        <c:axId val="1076586975"/>
      </c:scatterChart>
      <c:valAx>
        <c:axId val="1076586015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6586975"/>
        <c:crosses val="autoZero"/>
        <c:crossBetween val="midCat"/>
      </c:valAx>
      <c:valAx>
        <c:axId val="1076586975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658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323849</xdr:colOff>
      <xdr:row>2</xdr:row>
      <xdr:rowOff>325437</xdr:rowOff>
    </xdr:from>
    <xdr:to>
      <xdr:col>15</xdr:col>
      <xdr:colOff>717549</xdr:colOff>
      <xdr:row>28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F9950B-DB01-94DE-344B-EE7767331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343152</xdr:colOff>
      <xdr:row>31</xdr:row>
      <xdr:rowOff>19051</xdr:rowOff>
    </xdr:from>
    <xdr:to>
      <xdr:col>25</xdr:col>
      <xdr:colOff>457200</xdr:colOff>
      <xdr:row>52</xdr:row>
      <xdr:rowOff>139700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B3E1DC6-5B92-11A0-6B4B-3F6B008C9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529102</xdr:colOff>
      <xdr:row>30</xdr:row>
      <xdr:rowOff>26706</xdr:rowOff>
    </xdr:from>
    <xdr:to>
      <xdr:col>14</xdr:col>
      <xdr:colOff>552264</xdr:colOff>
      <xdr:row>49</xdr:row>
      <xdr:rowOff>160057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93172B8-04A0-AD82-FBB6-D40B52352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10</xdr:row>
      <xdr:rowOff>28575</xdr:rowOff>
    </xdr:from>
    <xdr:to>
      <xdr:col>14</xdr:col>
      <xdr:colOff>409576</xdr:colOff>
      <xdr:row>32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4DDB4A-B3A7-15E3-B84B-705CC1F9F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C9A9-6100-4C1F-A5AD-DA2A4F0544C5}">
  <dimension ref="A2:G53"/>
  <sheetViews>
    <sheetView topLeftCell="A8" zoomScale="70" zoomScaleNormal="70" workbookViewId="0">
      <selection activeCell="O59" sqref="O59"/>
    </sheetView>
  </sheetViews>
  <sheetFormatPr baseColWidth="10" defaultRowHeight="15" x14ac:dyDescent="0.25"/>
  <cols>
    <col min="2" max="2" width="12.85546875" bestFit="1" customWidth="1"/>
    <col min="4" max="4" width="15.5703125" bestFit="1" customWidth="1"/>
  </cols>
  <sheetData>
    <row r="2" spans="1:5" x14ac:dyDescent="0.25">
      <c r="A2" s="4" t="s">
        <v>0</v>
      </c>
      <c r="B2" s="4"/>
      <c r="C2" s="4"/>
    </row>
    <row r="3" spans="1:5" ht="30" x14ac:dyDescent="0.25">
      <c r="A3" s="2" t="s">
        <v>1</v>
      </c>
      <c r="B3" s="2" t="s">
        <v>2</v>
      </c>
      <c r="C3" s="2" t="s">
        <v>3</v>
      </c>
      <c r="D3" s="3" t="s">
        <v>5</v>
      </c>
      <c r="E3" s="3" t="s">
        <v>6</v>
      </c>
    </row>
    <row r="4" spans="1:5" x14ac:dyDescent="0.25">
      <c r="A4">
        <v>1000</v>
      </c>
      <c r="B4">
        <v>988</v>
      </c>
      <c r="C4" s="1">
        <f>($B$4-B4)*9.81/1000</f>
        <v>0</v>
      </c>
      <c r="D4">
        <v>0</v>
      </c>
      <c r="E4" s="1">
        <v>0</v>
      </c>
    </row>
    <row r="5" spans="1:5" x14ac:dyDescent="0.25">
      <c r="A5">
        <v>1100</v>
      </c>
      <c r="B5">
        <v>988</v>
      </c>
      <c r="C5" s="1">
        <f t="shared" ref="C5:C15" si="0">($B$4-B5)*9.81/1000</f>
        <v>0</v>
      </c>
      <c r="D5">
        <v>0</v>
      </c>
      <c r="E5" s="1" t="e">
        <f t="shared" ref="E5:E15" si="1">ABS((C43-C5)/C5 * 100)</f>
        <v>#DIV/0!</v>
      </c>
    </row>
    <row r="6" spans="1:5" x14ac:dyDescent="0.25">
      <c r="A6">
        <v>1150</v>
      </c>
      <c r="B6">
        <v>979</v>
      </c>
      <c r="C6" s="1">
        <f t="shared" si="0"/>
        <v>8.8290000000000007E-2</v>
      </c>
      <c r="D6" s="1">
        <f>ABS((C21-C6)/C6 * 100)</f>
        <v>11.111111111111109</v>
      </c>
      <c r="E6" s="1">
        <f t="shared" si="1"/>
        <v>400</v>
      </c>
    </row>
    <row r="7" spans="1:5" x14ac:dyDescent="0.25">
      <c r="A7">
        <v>1200</v>
      </c>
      <c r="B7">
        <v>963</v>
      </c>
      <c r="C7" s="1">
        <f t="shared" si="0"/>
        <v>0.24525</v>
      </c>
      <c r="D7" s="1">
        <f t="shared" ref="D7:D15" si="2">ABS((C22-C7)/C7 * 100)</f>
        <v>11.999999999999995</v>
      </c>
      <c r="E7" s="1">
        <f t="shared" si="1"/>
        <v>144.00000000000006</v>
      </c>
    </row>
    <row r="8" spans="1:5" x14ac:dyDescent="0.25">
      <c r="A8">
        <v>1300</v>
      </c>
      <c r="B8">
        <v>937</v>
      </c>
      <c r="C8" s="1">
        <f t="shared" si="0"/>
        <v>0.50031000000000003</v>
      </c>
      <c r="D8" s="1">
        <f t="shared" si="2"/>
        <v>0</v>
      </c>
      <c r="E8" s="1">
        <f t="shared" si="1"/>
        <v>74.509803921568619</v>
      </c>
    </row>
    <row r="9" spans="1:5" x14ac:dyDescent="0.25">
      <c r="A9">
        <v>1400</v>
      </c>
      <c r="B9">
        <v>902</v>
      </c>
      <c r="C9" s="1">
        <f t="shared" si="0"/>
        <v>0.84366000000000008</v>
      </c>
      <c r="D9" s="1">
        <f t="shared" si="2"/>
        <v>9.3023255813953476</v>
      </c>
      <c r="E9" s="1">
        <f t="shared" si="1"/>
        <v>34.883720930232556</v>
      </c>
    </row>
    <row r="10" spans="1:5" x14ac:dyDescent="0.25">
      <c r="A10">
        <v>1500</v>
      </c>
      <c r="B10">
        <v>892</v>
      </c>
      <c r="C10" s="1">
        <f t="shared" si="0"/>
        <v>0.94176000000000004</v>
      </c>
      <c r="D10" s="1">
        <f t="shared" si="2"/>
        <v>3.1249999999999951</v>
      </c>
      <c r="E10" s="1">
        <f t="shared" si="1"/>
        <v>80.208333333333329</v>
      </c>
    </row>
    <row r="11" spans="1:5" x14ac:dyDescent="0.25">
      <c r="A11">
        <v>1600</v>
      </c>
      <c r="B11">
        <v>868</v>
      </c>
      <c r="C11" s="1">
        <f t="shared" si="0"/>
        <v>1.1772</v>
      </c>
      <c r="D11" s="1">
        <f t="shared" si="2"/>
        <v>8.3333333333333197</v>
      </c>
      <c r="E11" s="1">
        <f t="shared" si="1"/>
        <v>61.666666666666671</v>
      </c>
    </row>
    <row r="12" spans="1:5" x14ac:dyDescent="0.25">
      <c r="A12">
        <v>1700</v>
      </c>
      <c r="B12">
        <v>848</v>
      </c>
      <c r="C12" s="1">
        <f t="shared" si="0"/>
        <v>1.3734000000000002</v>
      </c>
      <c r="D12" s="1">
        <f t="shared" si="2"/>
        <v>9.2857142857142794</v>
      </c>
      <c r="E12" s="1">
        <f t="shared" si="1"/>
        <v>71.428571428571402</v>
      </c>
    </row>
    <row r="13" spans="1:5" x14ac:dyDescent="0.25">
      <c r="A13">
        <v>1800</v>
      </c>
      <c r="B13">
        <v>804</v>
      </c>
      <c r="C13" s="1">
        <f t="shared" si="0"/>
        <v>1.8050400000000002</v>
      </c>
      <c r="D13" s="1">
        <f t="shared" si="2"/>
        <v>2.7173913043478279</v>
      </c>
      <c r="E13" s="1">
        <f t="shared" si="1"/>
        <v>78.804347826086968</v>
      </c>
    </row>
    <row r="14" spans="1:5" x14ac:dyDescent="0.25">
      <c r="A14">
        <v>1900</v>
      </c>
      <c r="B14">
        <v>757</v>
      </c>
      <c r="C14" s="1">
        <f t="shared" si="0"/>
        <v>2.2661100000000003</v>
      </c>
      <c r="D14" s="1">
        <f t="shared" si="2"/>
        <v>7.3593073593073415</v>
      </c>
      <c r="E14" s="1">
        <f t="shared" si="1"/>
        <v>42.424242424242422</v>
      </c>
    </row>
    <row r="15" spans="1:5" x14ac:dyDescent="0.25">
      <c r="A15">
        <v>2000</v>
      </c>
      <c r="B15">
        <v>692</v>
      </c>
      <c r="C15" s="1">
        <f t="shared" si="0"/>
        <v>2.9037600000000001</v>
      </c>
      <c r="D15" s="1">
        <f t="shared" si="2"/>
        <v>5.0675675675675791</v>
      </c>
      <c r="E15" s="1">
        <f t="shared" si="1"/>
        <v>11.148648648648658</v>
      </c>
    </row>
    <row r="17" spans="1:3" x14ac:dyDescent="0.25">
      <c r="A17" s="4" t="s">
        <v>7</v>
      </c>
      <c r="B17" s="4"/>
      <c r="C17" s="4"/>
    </row>
    <row r="18" spans="1:3" x14ac:dyDescent="0.25">
      <c r="A18" t="s">
        <v>1</v>
      </c>
      <c r="B18" t="s">
        <v>2</v>
      </c>
      <c r="C18" t="s">
        <v>3</v>
      </c>
    </row>
    <row r="19" spans="1:3" x14ac:dyDescent="0.25">
      <c r="A19">
        <v>1000</v>
      </c>
      <c r="B19">
        <v>988</v>
      </c>
      <c r="C19" s="1">
        <f>($B$19-B19)*9.81/1000</f>
        <v>0</v>
      </c>
    </row>
    <row r="20" spans="1:3" x14ac:dyDescent="0.25">
      <c r="A20">
        <v>1100</v>
      </c>
      <c r="B20">
        <v>988</v>
      </c>
      <c r="C20" s="1">
        <f t="shared" ref="C20:C30" si="3">($B$19-B20)*9.81/1000</f>
        <v>0</v>
      </c>
    </row>
    <row r="21" spans="1:3" x14ac:dyDescent="0.25">
      <c r="A21">
        <v>1150</v>
      </c>
      <c r="B21">
        <v>980</v>
      </c>
      <c r="C21" s="1">
        <f>($B$19-B21)*9.81/1000</f>
        <v>7.8480000000000008E-2</v>
      </c>
    </row>
    <row r="22" spans="1:3" x14ac:dyDescent="0.25">
      <c r="A22">
        <v>1200</v>
      </c>
      <c r="B22">
        <v>966</v>
      </c>
      <c r="C22" s="1">
        <f t="shared" si="3"/>
        <v>0.21582000000000001</v>
      </c>
    </row>
    <row r="23" spans="1:3" x14ac:dyDescent="0.25">
      <c r="A23">
        <v>1300</v>
      </c>
      <c r="B23">
        <v>937</v>
      </c>
      <c r="C23" s="1">
        <f t="shared" si="3"/>
        <v>0.50031000000000003</v>
      </c>
    </row>
    <row r="24" spans="1:3" x14ac:dyDescent="0.25">
      <c r="A24">
        <v>1400</v>
      </c>
      <c r="B24">
        <v>910</v>
      </c>
      <c r="C24" s="1">
        <f t="shared" si="3"/>
        <v>0.76518000000000008</v>
      </c>
    </row>
    <row r="25" spans="1:3" x14ac:dyDescent="0.25">
      <c r="A25">
        <v>1500</v>
      </c>
      <c r="B25">
        <v>895</v>
      </c>
      <c r="C25" s="1">
        <f t="shared" si="3"/>
        <v>0.91233000000000009</v>
      </c>
    </row>
    <row r="26" spans="1:3" x14ac:dyDescent="0.25">
      <c r="A26">
        <v>1600</v>
      </c>
      <c r="B26">
        <v>858</v>
      </c>
      <c r="C26" s="1">
        <f t="shared" si="3"/>
        <v>1.2752999999999999</v>
      </c>
    </row>
    <row r="27" spans="1:3" x14ac:dyDescent="0.25">
      <c r="A27">
        <v>1700</v>
      </c>
      <c r="B27">
        <v>835</v>
      </c>
      <c r="C27" s="1">
        <f t="shared" si="3"/>
        <v>1.5009300000000001</v>
      </c>
    </row>
    <row r="28" spans="1:3" x14ac:dyDescent="0.25">
      <c r="A28">
        <v>1800</v>
      </c>
      <c r="B28">
        <v>799</v>
      </c>
      <c r="C28" s="1">
        <f t="shared" si="3"/>
        <v>1.8540900000000002</v>
      </c>
    </row>
    <row r="29" spans="1:3" x14ac:dyDescent="0.25">
      <c r="A29">
        <v>1900</v>
      </c>
      <c r="B29">
        <v>740</v>
      </c>
      <c r="C29" s="1">
        <f t="shared" si="3"/>
        <v>2.4328799999999999</v>
      </c>
    </row>
    <row r="30" spans="1:3" x14ac:dyDescent="0.25">
      <c r="A30">
        <v>2000</v>
      </c>
      <c r="B30">
        <v>677</v>
      </c>
      <c r="C30" s="1">
        <f t="shared" si="3"/>
        <v>3.0509100000000005</v>
      </c>
    </row>
    <row r="33" spans="1:7" x14ac:dyDescent="0.25">
      <c r="A33" s="4" t="s">
        <v>4</v>
      </c>
      <c r="B33" s="4"/>
      <c r="C33" s="4"/>
    </row>
    <row r="34" spans="1:7" x14ac:dyDescent="0.25">
      <c r="A34" t="s">
        <v>1</v>
      </c>
      <c r="B34" t="s">
        <v>2</v>
      </c>
      <c r="C34" t="s">
        <v>3</v>
      </c>
      <c r="D34" t="s">
        <v>8</v>
      </c>
      <c r="E34" t="s">
        <v>9</v>
      </c>
      <c r="F34" t="s">
        <v>11</v>
      </c>
      <c r="G34" t="s">
        <v>10</v>
      </c>
    </row>
    <row r="35" spans="1:7" x14ac:dyDescent="0.25">
      <c r="A35">
        <v>1000</v>
      </c>
      <c r="B35">
        <v>984</v>
      </c>
      <c r="C35" s="1">
        <f>($B$35-B35)*9.81/1000</f>
        <v>0</v>
      </c>
      <c r="D35" s="1">
        <f>C35*E35</f>
        <v>0</v>
      </c>
      <c r="E35">
        <v>0</v>
      </c>
      <c r="F35">
        <v>0.5</v>
      </c>
      <c r="G35">
        <f>1000 + (A35-1000)*F35</f>
        <v>1000</v>
      </c>
    </row>
    <row r="36" spans="1:7" x14ac:dyDescent="0.25">
      <c r="A36">
        <v>1030</v>
      </c>
    </row>
    <row r="37" spans="1:7" x14ac:dyDescent="0.25">
      <c r="A37">
        <v>1040</v>
      </c>
      <c r="B37">
        <v>5</v>
      </c>
      <c r="C37" s="1">
        <f t="shared" ref="C37:C42" si="4">+B37*9.81/1000</f>
        <v>4.9050000000000003E-2</v>
      </c>
    </row>
    <row r="38" spans="1:7" x14ac:dyDescent="0.25">
      <c r="A38">
        <v>1050</v>
      </c>
      <c r="B38">
        <v>10</v>
      </c>
      <c r="C38" s="1">
        <f t="shared" si="4"/>
        <v>9.8100000000000007E-2</v>
      </c>
    </row>
    <row r="39" spans="1:7" x14ac:dyDescent="0.25">
      <c r="A39">
        <v>1060</v>
      </c>
      <c r="B39">
        <v>15</v>
      </c>
      <c r="C39" s="1">
        <f t="shared" si="4"/>
        <v>0.14715</v>
      </c>
    </row>
    <row r="40" spans="1:7" x14ac:dyDescent="0.25">
      <c r="A40">
        <v>1070</v>
      </c>
      <c r="B40">
        <v>20</v>
      </c>
      <c r="C40" s="1">
        <f t="shared" si="4"/>
        <v>0.19620000000000001</v>
      </c>
    </row>
    <row r="41" spans="1:7" x14ac:dyDescent="0.25">
      <c r="A41">
        <v>1080</v>
      </c>
      <c r="B41">
        <v>25</v>
      </c>
      <c r="C41" s="1">
        <f t="shared" si="4"/>
        <v>0.24525</v>
      </c>
    </row>
    <row r="42" spans="1:7" x14ac:dyDescent="0.25">
      <c r="A42">
        <v>1090</v>
      </c>
      <c r="B42">
        <v>30</v>
      </c>
      <c r="C42" s="1">
        <f t="shared" si="4"/>
        <v>0.29430000000000001</v>
      </c>
    </row>
    <row r="43" spans="1:7" x14ac:dyDescent="0.25">
      <c r="A43">
        <v>1100</v>
      </c>
      <c r="B43">
        <v>947</v>
      </c>
      <c r="C43" s="1">
        <f t="shared" ref="C43:C51" si="5">($B$35-B43)*9.81/1000</f>
        <v>0.36297000000000001</v>
      </c>
      <c r="D43" s="1">
        <f t="shared" ref="D43:D53" si="6">C43*E43</f>
        <v>5.4445500000000001E-2</v>
      </c>
      <c r="E43">
        <v>0.15</v>
      </c>
      <c r="F43">
        <v>0.5</v>
      </c>
      <c r="G43">
        <f>1000 + (A43-1000)*F43</f>
        <v>1050</v>
      </c>
    </row>
    <row r="44" spans="1:7" x14ac:dyDescent="0.25">
      <c r="A44">
        <v>1150</v>
      </c>
      <c r="B44">
        <v>939</v>
      </c>
      <c r="C44" s="1">
        <f t="shared" si="5"/>
        <v>0.44145000000000006</v>
      </c>
      <c r="D44" s="1">
        <f t="shared" si="6"/>
        <v>0.11036250000000002</v>
      </c>
      <c r="E44">
        <v>0.25</v>
      </c>
      <c r="F44">
        <v>0.5</v>
      </c>
      <c r="G44">
        <f t="shared" ref="G44:G53" si="7">1000 + (A44-1000)*F44</f>
        <v>1075</v>
      </c>
    </row>
    <row r="45" spans="1:7" x14ac:dyDescent="0.25">
      <c r="A45">
        <v>1200</v>
      </c>
      <c r="B45">
        <v>923</v>
      </c>
      <c r="C45" s="1">
        <f t="shared" si="5"/>
        <v>0.59841000000000011</v>
      </c>
      <c r="D45" s="1">
        <f t="shared" si="6"/>
        <v>0.20944350000000003</v>
      </c>
      <c r="E45">
        <v>0.35</v>
      </c>
      <c r="F45">
        <v>0.5</v>
      </c>
      <c r="G45">
        <f t="shared" si="7"/>
        <v>1100</v>
      </c>
    </row>
    <row r="46" spans="1:7" x14ac:dyDescent="0.25">
      <c r="A46">
        <v>1300</v>
      </c>
      <c r="B46">
        <v>895</v>
      </c>
      <c r="C46" s="1">
        <f t="shared" si="5"/>
        <v>0.87309000000000003</v>
      </c>
      <c r="D46" s="1">
        <f t="shared" si="6"/>
        <v>0.43654500000000002</v>
      </c>
      <c r="E46">
        <v>0.5</v>
      </c>
      <c r="F46">
        <v>0.5</v>
      </c>
      <c r="G46">
        <f t="shared" si="7"/>
        <v>1150</v>
      </c>
    </row>
    <row r="47" spans="1:7" x14ac:dyDescent="0.25">
      <c r="A47">
        <v>1400</v>
      </c>
      <c r="B47">
        <v>868</v>
      </c>
      <c r="C47" s="1">
        <f t="shared" si="5"/>
        <v>1.1379600000000001</v>
      </c>
      <c r="D47" s="1">
        <f t="shared" si="6"/>
        <v>0.71691480000000007</v>
      </c>
      <c r="E47">
        <v>0.63</v>
      </c>
      <c r="F47">
        <v>0.5</v>
      </c>
      <c r="G47">
        <f t="shared" si="7"/>
        <v>1200</v>
      </c>
    </row>
    <row r="48" spans="1:7" x14ac:dyDescent="0.25">
      <c r="A48">
        <v>1500</v>
      </c>
      <c r="B48">
        <v>811</v>
      </c>
      <c r="C48" s="1">
        <f t="shared" si="5"/>
        <v>1.69713</v>
      </c>
      <c r="D48" s="1">
        <f t="shared" si="6"/>
        <v>1.1540484000000002</v>
      </c>
      <c r="E48">
        <v>0.68</v>
      </c>
      <c r="F48">
        <v>0.5</v>
      </c>
      <c r="G48">
        <f t="shared" si="7"/>
        <v>1250</v>
      </c>
    </row>
    <row r="49" spans="1:7" x14ac:dyDescent="0.25">
      <c r="A49">
        <v>1600</v>
      </c>
      <c r="B49">
        <v>790</v>
      </c>
      <c r="C49" s="1">
        <f t="shared" si="5"/>
        <v>1.9031400000000001</v>
      </c>
      <c r="D49" s="1">
        <f t="shared" si="6"/>
        <v>1.332198</v>
      </c>
      <c r="E49">
        <v>0.7</v>
      </c>
      <c r="F49">
        <v>0.5</v>
      </c>
      <c r="G49">
        <f t="shared" si="7"/>
        <v>1300</v>
      </c>
    </row>
    <row r="50" spans="1:7" x14ac:dyDescent="0.25">
      <c r="A50">
        <v>1700</v>
      </c>
      <c r="B50">
        <v>744</v>
      </c>
      <c r="C50" s="1">
        <f t="shared" si="5"/>
        <v>2.3544</v>
      </c>
      <c r="D50" s="1">
        <f t="shared" si="6"/>
        <v>1.64808</v>
      </c>
      <c r="E50">
        <v>0.7</v>
      </c>
      <c r="F50">
        <v>0.5</v>
      </c>
      <c r="G50">
        <f t="shared" si="7"/>
        <v>1350</v>
      </c>
    </row>
    <row r="51" spans="1:7" x14ac:dyDescent="0.25">
      <c r="A51">
        <v>1800</v>
      </c>
      <c r="B51">
        <v>655</v>
      </c>
      <c r="C51" s="1">
        <f t="shared" si="5"/>
        <v>3.2274900000000004</v>
      </c>
      <c r="D51" s="1">
        <f t="shared" si="6"/>
        <v>2.4528924000000005</v>
      </c>
      <c r="E51">
        <v>0.76</v>
      </c>
      <c r="F51">
        <v>0.5</v>
      </c>
      <c r="G51">
        <f t="shared" si="7"/>
        <v>1400</v>
      </c>
    </row>
    <row r="52" spans="1:7" x14ac:dyDescent="0.25">
      <c r="A52">
        <v>1900</v>
      </c>
      <c r="B52">
        <v>655</v>
      </c>
      <c r="C52" s="1">
        <f>($B$35-B52)*9.81/1000</f>
        <v>3.2274900000000004</v>
      </c>
      <c r="D52" s="1">
        <f t="shared" si="6"/>
        <v>2.5174422000000005</v>
      </c>
      <c r="E52" s="1">
        <v>0.78</v>
      </c>
      <c r="F52">
        <v>0.5</v>
      </c>
      <c r="G52">
        <f t="shared" si="7"/>
        <v>1450</v>
      </c>
    </row>
    <row r="53" spans="1:7" x14ac:dyDescent="0.25">
      <c r="A53">
        <v>2000</v>
      </c>
      <c r="B53">
        <v>655</v>
      </c>
      <c r="C53" s="1">
        <f>($B$35-B53)*9.81/1000</f>
        <v>3.2274900000000004</v>
      </c>
      <c r="D53" s="1">
        <f t="shared" si="6"/>
        <v>2.5174422000000005</v>
      </c>
      <c r="E53" s="1">
        <v>0.78</v>
      </c>
      <c r="F53">
        <v>0.5</v>
      </c>
      <c r="G53">
        <f t="shared" si="7"/>
        <v>1500</v>
      </c>
    </row>
  </sheetData>
  <mergeCells count="3">
    <mergeCell ref="A17:C17"/>
    <mergeCell ref="A2:C2"/>
    <mergeCell ref="A33:C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BE72-E844-4B77-BFA4-7E65DF448B66}">
  <dimension ref="A1:L10"/>
  <sheetViews>
    <sheetView tabSelected="1" workbookViewId="0">
      <selection activeCell="D17" sqref="D17"/>
    </sheetView>
  </sheetViews>
  <sheetFormatPr baseColWidth="10" defaultRowHeight="15" x14ac:dyDescent="0.25"/>
  <cols>
    <col min="6" max="6" width="15" customWidth="1"/>
  </cols>
  <sheetData>
    <row r="1" spans="1:12" x14ac:dyDescent="0.25">
      <c r="A1" t="s">
        <v>12</v>
      </c>
      <c r="B1" t="s">
        <v>13</v>
      </c>
      <c r="D1" t="s">
        <v>14</v>
      </c>
      <c r="E1" t="s">
        <v>15</v>
      </c>
      <c r="K1" t="s">
        <v>16</v>
      </c>
      <c r="L1" s="5">
        <v>1.65382088E-4</v>
      </c>
    </row>
    <row r="2" spans="1:12" x14ac:dyDescent="0.25">
      <c r="A2">
        <v>10</v>
      </c>
      <c r="B2">
        <v>4.2</v>
      </c>
      <c r="D2">
        <f>1000+A2*10</f>
        <v>1100</v>
      </c>
      <c r="E2">
        <f>1000+B2*10</f>
        <v>1042</v>
      </c>
      <c r="F2" s="6">
        <f>$L$1*D2*D2+$L$2*D2+$L$3</f>
        <v>1062.3767425799999</v>
      </c>
      <c r="K2" t="s">
        <v>17</v>
      </c>
      <c r="L2" s="5">
        <v>0.28102007099999998</v>
      </c>
    </row>
    <row r="3" spans="1:12" x14ac:dyDescent="0.25">
      <c r="A3">
        <v>15</v>
      </c>
      <c r="B3">
        <v>8</v>
      </c>
      <c r="D3">
        <f t="shared" ref="D3:D10" si="0">1000+A3*10</f>
        <v>1150</v>
      </c>
      <c r="E3">
        <f t="shared" ref="E3:E10" si="1">1000+B3*10</f>
        <v>1080</v>
      </c>
      <c r="F3" s="6">
        <f t="shared" ref="F3:F10" si="2">$L$1*D3*D3+$L$2*D3+$L$3</f>
        <v>1095.03323103</v>
      </c>
      <c r="K3" t="s">
        <v>18</v>
      </c>
      <c r="L3" s="5">
        <v>553.142338</v>
      </c>
    </row>
    <row r="4" spans="1:12" x14ac:dyDescent="0.25">
      <c r="A4">
        <v>20</v>
      </c>
      <c r="B4">
        <v>11</v>
      </c>
      <c r="D4">
        <f t="shared" si="0"/>
        <v>1200</v>
      </c>
      <c r="E4">
        <f t="shared" si="1"/>
        <v>1110</v>
      </c>
      <c r="F4" s="6">
        <f t="shared" si="2"/>
        <v>1128.51662992</v>
      </c>
    </row>
    <row r="5" spans="1:12" x14ac:dyDescent="0.25">
      <c r="A5">
        <v>30</v>
      </c>
      <c r="B5">
        <v>19</v>
      </c>
      <c r="D5">
        <f t="shared" si="0"/>
        <v>1300</v>
      </c>
      <c r="E5">
        <f t="shared" si="1"/>
        <v>1190</v>
      </c>
      <c r="F5" s="6">
        <f t="shared" si="2"/>
        <v>1197.9641590199999</v>
      </c>
    </row>
    <row r="6" spans="1:12" x14ac:dyDescent="0.25">
      <c r="A6">
        <v>40</v>
      </c>
      <c r="B6">
        <v>25</v>
      </c>
      <c r="D6">
        <f t="shared" si="0"/>
        <v>1400</v>
      </c>
      <c r="E6">
        <f t="shared" si="1"/>
        <v>1250</v>
      </c>
      <c r="F6" s="6">
        <f t="shared" si="2"/>
        <v>1270.7193298799998</v>
      </c>
    </row>
    <row r="7" spans="1:12" x14ac:dyDescent="0.25">
      <c r="A7">
        <v>50</v>
      </c>
      <c r="B7">
        <v>34</v>
      </c>
      <c r="D7">
        <f t="shared" si="0"/>
        <v>1500</v>
      </c>
      <c r="E7">
        <f t="shared" si="1"/>
        <v>1340</v>
      </c>
      <c r="F7" s="6">
        <f t="shared" si="2"/>
        <v>1346.7821425</v>
      </c>
    </row>
    <row r="8" spans="1:12" x14ac:dyDescent="0.25">
      <c r="A8">
        <v>60</v>
      </c>
      <c r="B8">
        <v>44.3</v>
      </c>
      <c r="D8">
        <f t="shared" si="0"/>
        <v>1600</v>
      </c>
      <c r="E8">
        <f t="shared" si="1"/>
        <v>1443</v>
      </c>
      <c r="F8" s="6">
        <f t="shared" si="2"/>
        <v>1426.1525968799999</v>
      </c>
    </row>
    <row r="9" spans="1:12" x14ac:dyDescent="0.25">
      <c r="A9">
        <v>70</v>
      </c>
      <c r="B9">
        <v>52.3</v>
      </c>
      <c r="D9">
        <f t="shared" si="0"/>
        <v>1700</v>
      </c>
      <c r="E9">
        <f t="shared" si="1"/>
        <v>1523</v>
      </c>
      <c r="F9" s="6">
        <f t="shared" si="2"/>
        <v>1508.8306930200001</v>
      </c>
    </row>
    <row r="10" spans="1:12" x14ac:dyDescent="0.25">
      <c r="A10">
        <v>80</v>
      </c>
      <c r="B10">
        <v>60.6</v>
      </c>
      <c r="D10">
        <f t="shared" si="0"/>
        <v>1800</v>
      </c>
      <c r="E10">
        <f t="shared" si="1"/>
        <v>1606</v>
      </c>
      <c r="F10" s="6">
        <f t="shared" si="2"/>
        <v>1594.8164309200001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COUSINEY</dc:creator>
  <cp:lastModifiedBy>Maxime COUSINEY</cp:lastModifiedBy>
  <dcterms:created xsi:type="dcterms:W3CDTF">2026-10-14T11:44:50Z</dcterms:created>
  <dcterms:modified xsi:type="dcterms:W3CDTF">2026-10-20T13:06:58Z</dcterms:modified>
</cp:coreProperties>
</file>